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ustomer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FFFFFF"/>
      <sz val="16"/>
    </font>
    <font>
      <name val="Segoe UI"/>
      <b val="1"/>
      <color rgb="00595959"/>
      <sz val="9"/>
    </font>
    <font>
      <name val="Segoe UI"/>
      <b val="1"/>
      <color rgb="00366092"/>
      <sz val="16"/>
    </font>
    <font>
      <name val="Segoe UI"/>
      <b val="1"/>
      <color rgb="00244062"/>
      <sz val="16"/>
    </font>
    <font>
      <name val="Segoe UI"/>
      <b val="1"/>
      <color rgb="00366092"/>
      <sz val="12"/>
    </font>
    <font>
      <name val="Segoe UI"/>
      <b val="1"/>
      <color rgb="00FFFFFF"/>
      <sz val="10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  <fill>
      <patternFill patternType="solid">
        <fgColor rgb="0095B3D7"/>
        <bgColor rgb="0095B3D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5" fillId="3" borderId="0" applyAlignment="1" pivotButton="0" quotePrefix="0" xfId="0">
      <alignment horizontal="center"/>
    </xf>
    <xf numFmtId="1" fontId="6" fillId="3" borderId="0" applyAlignment="1" pivotButton="0" quotePrefix="0" xfId="0">
      <alignment horizontal="center"/>
    </xf>
    <xf numFmtId="0" fontId="7" fillId="0" borderId="0" pivotButton="0" quotePrefix="0" xfId="0"/>
    <xf numFmtId="0" fontId="8" fillId="4" borderId="0" applyAlignment="1" pivotButton="0" quotePrefix="0" xfId="0">
      <alignment horizontal="center"/>
    </xf>
    <xf numFmtId="0" fontId="9" fillId="0" borderId="1" pivotButton="0" quotePrefix="0" xfId="0"/>
    <xf numFmtId="164" fontId="9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1" customWidth="1" min="2" max="2"/>
    <col width="21" customWidth="1" min="3" max="3"/>
    <col width="33" customWidth="1" min="4" max="4"/>
    <col width="21" customWidth="1" min="5" max="5"/>
    <col width="15" customWidth="1" min="6" max="6"/>
  </cols>
  <sheetData>
    <row r="1">
      <c r="A1" s="1" t="inlineStr">
        <is>
          <t>Customer Segmentation Analytics Dashboard</t>
        </is>
      </c>
    </row>
    <row r="2"/>
    <row r="3"/>
    <row r="4">
      <c r="A4" s="2" t="inlineStr">
        <is>
          <t>TOTAL CUSTOMERS</t>
        </is>
      </c>
      <c r="B4" s="3" t="n"/>
      <c r="D4" s="2" t="inlineStr">
        <is>
          <t>AVERAGE AGE</t>
        </is>
      </c>
      <c r="E4" s="3" t="n"/>
    </row>
    <row r="5">
      <c r="A5" s="4">
        <f>COUNTA(Customer_Data!A2:A11)</f>
        <v/>
      </c>
      <c r="B5" s="3" t="n"/>
      <c r="D5" s="5">
        <f>AVERAGE(Customer_Data!B2:B11)</f>
        <v/>
      </c>
      <c r="E5" s="3" t="n"/>
    </row>
    <row r="6"/>
    <row r="7"/>
    <row r="8">
      <c r="A8" s="6" t="inlineStr">
        <is>
          <t>Customer Segments Breakdown</t>
        </is>
      </c>
    </row>
    <row r="9">
      <c r="A9" s="7" t="inlineStr">
        <is>
          <t>Customer ID</t>
        </is>
      </c>
      <c r="B9" s="7" t="inlineStr">
        <is>
          <t>Age</t>
        </is>
      </c>
      <c r="C9" s="7" t="inlineStr">
        <is>
          <t>Annual Income</t>
        </is>
      </c>
      <c r="D9" s="7" t="inlineStr">
        <is>
          <t>Spending Score</t>
        </is>
      </c>
      <c r="E9" s="7" t="inlineStr">
        <is>
          <t>Segment Group</t>
        </is>
      </c>
    </row>
    <row r="10">
      <c r="A10" s="8">
        <f>Customer_Data!A2</f>
        <v/>
      </c>
      <c r="B10" s="8">
        <f>Customer_Data!B2</f>
        <v/>
      </c>
      <c r="C10" s="9">
        <f>Customer_Data!C2</f>
        <v/>
      </c>
      <c r="D10" s="8">
        <f>Customer_Data!D2</f>
        <v/>
      </c>
      <c r="E10" s="8">
        <f>Customer_Data!F2</f>
        <v/>
      </c>
    </row>
    <row r="11">
      <c r="A11" s="8">
        <f>Customer_Data!A3</f>
        <v/>
      </c>
      <c r="B11" s="8">
        <f>Customer_Data!B3</f>
        <v/>
      </c>
      <c r="C11" s="9">
        <f>Customer_Data!C3</f>
        <v/>
      </c>
      <c r="D11" s="8">
        <f>Customer_Data!D3</f>
        <v/>
      </c>
      <c r="E11" s="8">
        <f>Customer_Data!F3</f>
        <v/>
      </c>
    </row>
    <row r="12">
      <c r="A12" s="8">
        <f>Customer_Data!A4</f>
        <v/>
      </c>
      <c r="B12" s="8">
        <f>Customer_Data!B4</f>
        <v/>
      </c>
      <c r="C12" s="9">
        <f>Customer_Data!C4</f>
        <v/>
      </c>
      <c r="D12" s="8">
        <f>Customer_Data!D4</f>
        <v/>
      </c>
      <c r="E12" s="8">
        <f>Customer_Data!F4</f>
        <v/>
      </c>
    </row>
    <row r="13">
      <c r="A13" s="8">
        <f>Customer_Data!A5</f>
        <v/>
      </c>
      <c r="B13" s="8">
        <f>Customer_Data!B5</f>
        <v/>
      </c>
      <c r="C13" s="9">
        <f>Customer_Data!C5</f>
        <v/>
      </c>
      <c r="D13" s="8">
        <f>Customer_Data!D5</f>
        <v/>
      </c>
      <c r="E13" s="8">
        <f>Customer_Data!F5</f>
        <v/>
      </c>
    </row>
    <row r="14">
      <c r="A14" s="8">
        <f>Customer_Data!A6</f>
        <v/>
      </c>
      <c r="B14" s="8">
        <f>Customer_Data!B6</f>
        <v/>
      </c>
      <c r="C14" s="9">
        <f>Customer_Data!C6</f>
        <v/>
      </c>
      <c r="D14" s="8">
        <f>Customer_Data!D6</f>
        <v/>
      </c>
      <c r="E14" s="8">
        <f>Customer_Data!F6</f>
        <v/>
      </c>
    </row>
    <row r="15">
      <c r="A15" s="8">
        <f>Customer_Data!A7</f>
        <v/>
      </c>
      <c r="B15" s="8">
        <f>Customer_Data!B7</f>
        <v/>
      </c>
      <c r="C15" s="9">
        <f>Customer_Data!C7</f>
        <v/>
      </c>
      <c r="D15" s="8">
        <f>Customer_Data!D7</f>
        <v/>
      </c>
      <c r="E15" s="8">
        <f>Customer_Data!F7</f>
        <v/>
      </c>
    </row>
    <row r="16">
      <c r="A16" s="8">
        <f>Customer_Data!A8</f>
        <v/>
      </c>
      <c r="B16" s="8">
        <f>Customer_Data!B8</f>
        <v/>
      </c>
      <c r="C16" s="9">
        <f>Customer_Data!C8</f>
        <v/>
      </c>
      <c r="D16" s="8">
        <f>Customer_Data!D8</f>
        <v/>
      </c>
      <c r="E16" s="8">
        <f>Customer_Data!F8</f>
        <v/>
      </c>
    </row>
    <row r="17">
      <c r="A17" s="8">
        <f>Customer_Data!A9</f>
        <v/>
      </c>
      <c r="B17" s="8">
        <f>Customer_Data!B9</f>
        <v/>
      </c>
      <c r="C17" s="9">
        <f>Customer_Data!C9</f>
        <v/>
      </c>
      <c r="D17" s="8">
        <f>Customer_Data!D9</f>
        <v/>
      </c>
      <c r="E17" s="8">
        <f>Customer_Data!F9</f>
        <v/>
      </c>
    </row>
    <row r="18">
      <c r="A18" s="8">
        <f>Customer_Data!A10</f>
        <v/>
      </c>
      <c r="B18" s="8">
        <f>Customer_Data!B10</f>
        <v/>
      </c>
      <c r="C18" s="9">
        <f>Customer_Data!C10</f>
        <v/>
      </c>
      <c r="D18" s="8">
        <f>Customer_Data!D10</f>
        <v/>
      </c>
      <c r="E18" s="8">
        <f>Customer_Data!F10</f>
        <v/>
      </c>
    </row>
    <row r="19">
      <c r="A19" s="8">
        <f>Customer_Data!A11</f>
        <v/>
      </c>
      <c r="B19" s="8">
        <f>Customer_Data!B11</f>
        <v/>
      </c>
      <c r="C19" s="9">
        <f>Customer_Data!C11</f>
        <v/>
      </c>
      <c r="D19" s="8">
        <f>Customer_Data!D11</f>
        <v/>
      </c>
      <c r="E19" s="8">
        <f>Customer_Data!F11</f>
        <v/>
      </c>
    </row>
  </sheetData>
  <mergeCells count="5">
    <mergeCell ref="A4:B4"/>
    <mergeCell ref="D5:E5"/>
    <mergeCell ref="A1:F2"/>
    <mergeCell ref="A5:B5"/>
    <mergeCell ref="D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4" customWidth="1" min="4" max="4"/>
    <col width="15" customWidth="1" min="5" max="5"/>
    <col width="94" customWidth="1" min="6" max="6"/>
  </cols>
  <sheetData>
    <row r="1">
      <c r="A1" s="10" t="inlineStr">
        <is>
          <t>Customer_ID</t>
        </is>
      </c>
      <c r="B1" s="10" t="inlineStr">
        <is>
          <t>Age</t>
        </is>
      </c>
      <c r="C1" s="10" t="inlineStr">
        <is>
          <t>Annual_Income_INR</t>
        </is>
      </c>
      <c r="D1" s="10" t="inlineStr">
        <is>
          <t>Spending_Score_1to100</t>
        </is>
      </c>
      <c r="E1" s="10" t="inlineStr">
        <is>
          <t>Gender</t>
        </is>
      </c>
      <c r="F1" s="10" t="inlineStr">
        <is>
          <t>Segment</t>
        </is>
      </c>
    </row>
    <row r="2">
      <c r="A2" s="11" t="inlineStr">
        <is>
          <t>C101</t>
        </is>
      </c>
      <c r="B2" s="12" t="n">
        <v>25</v>
      </c>
      <c r="C2" s="13" t="n">
        <v>300000</v>
      </c>
      <c r="D2" s="12" t="n">
        <v>40</v>
      </c>
      <c r="E2" s="11" t="inlineStr">
        <is>
          <t>Male</t>
        </is>
      </c>
      <c r="F2" s="11">
        <f>IF(D2&gt;75, "VIP (High Spending)", IF(D2&gt;35, "Regular (Medium)", "Budget (Low Spending)"))</f>
        <v/>
      </c>
    </row>
    <row r="3">
      <c r="A3" s="11" t="inlineStr">
        <is>
          <t>C102</t>
        </is>
      </c>
      <c r="B3" s="12" t="n">
        <v>42</v>
      </c>
      <c r="C3" s="13" t="n">
        <v>850000</v>
      </c>
      <c r="D3" s="12" t="n">
        <v>85</v>
      </c>
      <c r="E3" s="11" t="inlineStr">
        <is>
          <t>Female</t>
        </is>
      </c>
      <c r="F3" s="11">
        <f>IF(D3&gt;75, "VIP (High Spending)", IF(D3&gt;35, "Regular (Medium)", "Budget (Low Spending)"))</f>
        <v/>
      </c>
    </row>
    <row r="4">
      <c r="A4" s="11" t="inlineStr">
        <is>
          <t>C103</t>
        </is>
      </c>
      <c r="B4" s="12" t="n">
        <v>19</v>
      </c>
      <c r="C4" s="13" t="n">
        <v>150000</v>
      </c>
      <c r="D4" s="12" t="n">
        <v>20</v>
      </c>
      <c r="E4" s="11" t="inlineStr">
        <is>
          <t>Female</t>
        </is>
      </c>
      <c r="F4" s="11">
        <f>IF(D4&gt;75, "VIP (High Spending)", IF(D4&gt;35, "Regular (Medium)", "Budget (Low Spending)"))</f>
        <v/>
      </c>
    </row>
    <row r="5">
      <c r="A5" s="11" t="inlineStr">
        <is>
          <t>C104</t>
        </is>
      </c>
      <c r="B5" s="12" t="n">
        <v>35</v>
      </c>
      <c r="C5" s="13" t="n">
        <v>600000</v>
      </c>
      <c r="D5" s="12" t="n">
        <v>70</v>
      </c>
      <c r="E5" s="11" t="inlineStr">
        <is>
          <t>Male</t>
        </is>
      </c>
      <c r="F5" s="11">
        <f>IF(D5&gt;75, "VIP (High Spending)", IF(D5&gt;35, "Regular (Medium)", "Budget (Low Spending)"))</f>
        <v/>
      </c>
    </row>
    <row r="6">
      <c r="A6" s="11" t="inlineStr">
        <is>
          <t>C105</t>
        </is>
      </c>
      <c r="B6" s="12" t="n">
        <v>50</v>
      </c>
      <c r="C6" s="13" t="n">
        <v>1200000</v>
      </c>
      <c r="D6" s="12" t="n">
        <v>90</v>
      </c>
      <c r="E6" s="11" t="inlineStr">
        <is>
          <t>Female</t>
        </is>
      </c>
      <c r="F6" s="11">
        <f>IF(D6&gt;75, "VIP (High Spending)", IF(D6&gt;35, "Regular (Medium)", "Budget (Low Spending)"))</f>
        <v/>
      </c>
    </row>
    <row r="7">
      <c r="A7" s="11" t="inlineStr">
        <is>
          <t>C106</t>
        </is>
      </c>
      <c r="B7" s="12" t="n">
        <v>22</v>
      </c>
      <c r="C7" s="13" t="n">
        <v>200000</v>
      </c>
      <c r="D7" s="12" t="n">
        <v>15</v>
      </c>
      <c r="E7" s="11" t="inlineStr">
        <is>
          <t>Male</t>
        </is>
      </c>
      <c r="F7" s="11">
        <f>IF(D7&gt;75, "VIP (High Spending)", IF(D7&gt;35, "Regular (Medium)", "Budget (Low Spending)"))</f>
        <v/>
      </c>
    </row>
    <row r="8">
      <c r="A8" s="11" t="inlineStr">
        <is>
          <t>C107</t>
        </is>
      </c>
      <c r="B8" s="12" t="n">
        <v>45</v>
      </c>
      <c r="C8" s="13" t="n">
        <v>950000</v>
      </c>
      <c r="D8" s="12" t="n">
        <v>78</v>
      </c>
      <c r="E8" s="11" t="inlineStr">
        <is>
          <t>Female</t>
        </is>
      </c>
      <c r="F8" s="11">
        <f>IF(D8&gt;75, "VIP (High Spending)", IF(D8&gt;35, "Regular (Medium)", "Budget (Low Spending)"))</f>
        <v/>
      </c>
    </row>
    <row r="9">
      <c r="A9" s="11" t="inlineStr">
        <is>
          <t>C108</t>
        </is>
      </c>
      <c r="B9" s="12" t="n">
        <v>28</v>
      </c>
      <c r="C9" s="13" t="n">
        <v>450000</v>
      </c>
      <c r="D9" s="12" t="n">
        <v>50</v>
      </c>
      <c r="E9" s="11" t="inlineStr">
        <is>
          <t>Male</t>
        </is>
      </c>
      <c r="F9" s="11">
        <f>IF(D9&gt;75, "VIP (High Spending)", IF(D9&gt;35, "Regular (Medium)", "Budget (Low Spending)"))</f>
        <v/>
      </c>
    </row>
    <row r="10">
      <c r="A10" s="11" t="inlineStr">
        <is>
          <t>C109</t>
        </is>
      </c>
      <c r="B10" s="12" t="n">
        <v>31</v>
      </c>
      <c r="C10" s="13" t="n">
        <v>550000</v>
      </c>
      <c r="D10" s="12" t="n">
        <v>65</v>
      </c>
      <c r="E10" s="11" t="inlineStr">
        <is>
          <t>Female</t>
        </is>
      </c>
      <c r="F10" s="11">
        <f>IF(D10&gt;75, "VIP (High Spending)", IF(D10&gt;35, "Regular (Medium)", "Budget (Low Spending)"))</f>
        <v/>
      </c>
    </row>
    <row r="11">
      <c r="A11" s="11" t="inlineStr">
        <is>
          <t>C110</t>
        </is>
      </c>
      <c r="B11" s="12" t="n">
        <v>55</v>
      </c>
      <c r="C11" s="13" t="n">
        <v>1100000</v>
      </c>
      <c r="D11" s="12" t="n">
        <v>88</v>
      </c>
      <c r="E11" s="11" t="inlineStr">
        <is>
          <t>Male</t>
        </is>
      </c>
      <c r="F11" s="11">
        <f>IF(D11&gt;75, "VIP (High Spending)", IF(D11&gt;35, "Regular (Medium)", "Budget (Low Spending)"))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2026-05-30T03:00:39Z</dcterms:created>
  <dcterms:modified xmlns:dcterms="http://purl.org/dc/terms/" xmlns:xsi="http://www.w3.org/2001/XMLSchema-instance" xsi:type="dcterms:W3CDTF">2026-05-30T03:00:39Z</dcterms:modified>
</cp:coreProperties>
</file>